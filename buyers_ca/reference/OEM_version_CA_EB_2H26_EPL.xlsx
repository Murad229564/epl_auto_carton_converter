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ldeo01\Desktop\"/>
    </mc:Choice>
  </mc:AlternateContent>
  <xr:revisionPtr revIDLastSave="0" documentId="13_ncr:1_{B180283C-A0F1-4B83-BDAA-4E24D8CF9B8F}" xr6:coauthVersionLast="47" xr6:coauthVersionMax="47" xr10:uidLastSave="{00000000-0000-0000-0000-000000000000}"/>
  <bookViews>
    <workbookView xWindow="-120" yWindow="-120" windowWidth="20730" windowHeight="11160" xr2:uid="{1DCAF301-6F6F-4DB7-BDFD-D37265695B4C}"/>
  </bookViews>
  <sheets>
    <sheet name="Epyllion" sheetId="2" r:id="rId1"/>
    <sheet name="Sheet1" sheetId="3" r:id="rId2"/>
  </sheets>
  <calcPr calcId="191029" refMode="R1C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H8" i="3"/>
  <c r="F9" i="3"/>
  <c r="H9" i="3"/>
  <c r="F10" i="3"/>
  <c r="J10" i="3"/>
  <c r="F11" i="3"/>
  <c r="H11" i="3"/>
  <c r="F12" i="3"/>
  <c r="H12" i="3"/>
  <c r="F13" i="3"/>
  <c r="H13" i="3"/>
  <c r="F14" i="3"/>
  <c r="H14" i="3"/>
  <c r="F15" i="3"/>
  <c r="H15" i="3"/>
  <c r="J15" i="3"/>
  <c r="F16" i="3"/>
  <c r="H16" i="3"/>
  <c r="F17" i="3"/>
  <c r="H17" i="3"/>
  <c r="F18" i="3"/>
  <c r="H18" i="3"/>
  <c r="F19" i="3"/>
  <c r="H19" i="3"/>
  <c r="F20" i="3"/>
  <c r="H20" i="3"/>
  <c r="F7" i="3"/>
  <c r="J7" i="3"/>
  <c r="F6" i="3"/>
  <c r="H6" i="3"/>
  <c r="F5" i="3"/>
  <c r="J5" i="3"/>
  <c r="F4" i="3"/>
  <c r="H4" i="3"/>
  <c r="F3" i="3"/>
  <c r="J3" i="3"/>
  <c r="F9" i="2"/>
  <c r="H9" i="2"/>
  <c r="F8" i="2"/>
  <c r="J8" i="2"/>
  <c r="F7" i="2"/>
  <c r="H7" i="2"/>
  <c r="F6" i="2"/>
  <c r="J6" i="2"/>
  <c r="F5" i="2"/>
  <c r="H5" i="2"/>
  <c r="H10" i="3"/>
  <c r="J7" i="2"/>
  <c r="J9" i="2"/>
  <c r="J5" i="2"/>
  <c r="J14" i="3"/>
  <c r="J6" i="3"/>
  <c r="H5" i="3"/>
  <c r="J18" i="3"/>
  <c r="J11" i="3"/>
  <c r="J19" i="3"/>
  <c r="J20" i="3"/>
  <c r="J16" i="3"/>
  <c r="J12" i="3"/>
  <c r="J8" i="3"/>
  <c r="J17" i="3"/>
  <c r="J13" i="3"/>
  <c r="J9" i="3"/>
  <c r="H3" i="3"/>
  <c r="J4" i="3"/>
  <c r="H7" i="3"/>
  <c r="H6" i="2"/>
  <c r="H8" i="2"/>
</calcChain>
</file>

<file path=xl/sharedStrings.xml><?xml version="1.0" encoding="utf-8"?>
<sst xmlns="http://schemas.openxmlformats.org/spreadsheetml/2006/main" count="45" uniqueCount="31">
  <si>
    <t>Item</t>
  </si>
  <si>
    <t>L</t>
  </si>
  <si>
    <t>W</t>
  </si>
  <si>
    <t>H</t>
  </si>
  <si>
    <t>Blank area</t>
  </si>
  <si>
    <t>SO SQM rate</t>
  </si>
  <si>
    <t>EB1</t>
  </si>
  <si>
    <t>EB2</t>
  </si>
  <si>
    <t>EB3</t>
  </si>
  <si>
    <t>EB4</t>
  </si>
  <si>
    <t>EB5</t>
  </si>
  <si>
    <t>Carton Unit price</t>
  </si>
  <si>
    <t>This calculator is applicable for only C&amp;A custom size master carton</t>
  </si>
  <si>
    <t>Outer Dimention</t>
  </si>
  <si>
    <t>Prices are rounded to 3 digit after Decimal</t>
  </si>
  <si>
    <t>PO SQM rate</t>
  </si>
  <si>
    <t>PO Unit Price</t>
  </si>
  <si>
    <t>Price is valid from 1st July-2026 until further update</t>
  </si>
  <si>
    <t>EB6</t>
  </si>
  <si>
    <t>EB7</t>
  </si>
  <si>
    <t>EB8</t>
  </si>
  <si>
    <t>EB9</t>
  </si>
  <si>
    <t>EB10</t>
  </si>
  <si>
    <t>EB11</t>
  </si>
  <si>
    <t>EB12</t>
  </si>
  <si>
    <t>EB13</t>
  </si>
  <si>
    <t>EB14</t>
  </si>
  <si>
    <t>EB15</t>
  </si>
  <si>
    <t>EB16</t>
  </si>
  <si>
    <t>EB17</t>
  </si>
  <si>
    <t>EB18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</si>
</sst>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ill="1" applyBorder="1" applyProtection="1">
      <protection locked="0"/>
    </xf>
    <xf numFmtId="0" fontId="0" fillId="0" borderId="1" xfId="0" applyBorder="1" applyProtection="1">
      <protection hidden="1"/>
    </xf>
    <xf numFmtId="164" fontId="0" fillId="2" borderId="1" xfId="0" applyNumberFormat="1" applyFill="1" applyBorder="1" applyProtection="1">
      <protection hidden="1"/>
    </xf>
    <xf numFmtId="0" fontId="0" fillId="4" borderId="1" xfId="0" applyFill="1" applyBorder="1"/>
    <xf numFmtId="0" fontId="0" fillId="4" borderId="1" xfId="0" applyFill="1" applyBorder="1" applyAlignment="1" applyProtection="1">
      <alignment wrapText="1"/>
      <protection hidden="1"/>
    </xf>
    <xf numFmtId="0" fontId="0" fillId="4" borderId="1" xfId="0" applyFill="1" applyBorder="1" applyAlignment="1">
      <alignment horizontal="center" vertical="center" wrapText="1"/>
    </xf>
    <xf numFmtId="164" fontId="0" fillId="0" borderId="1" xfId="0" applyNumberFormat="1" applyBorder="1" applyProtection="1">
      <protection hidden="1"/>
    </xf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133350</xdr:colOff>
      <xdr:row>1</xdr:row>
      <xdr:rowOff>171450</xdr:rowOff>
    </xdr:from>
    <xdr:to>
      <xdr:col>13</xdr:col>
      <xdr:colOff>127000</xdr:colOff>
      <xdr:row>9</xdr:row>
      <xdr:rowOff>139700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2FC2B2C6-54E8-4CA2-9B4A-2050616688C6}"/>
            </a:ext>
          </a:extLst>
        </xdr:cNvPr>
        <xdr:cNvSpPr/>
      </xdr:nvSpPr>
      <xdr:spPr>
        <a:xfrm>
          <a:off x="6432550" y="355600"/>
          <a:ext cx="1822450" cy="1625600"/>
        </a:xfrm>
        <a:prstGeom prst="lef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Pls put OUTSIDE</a:t>
          </a:r>
          <a:r>
            <a:rPr lang="en-US" sz="1100" baseline="0"/>
            <a:t> MEASUREMENT in </a:t>
          </a:r>
          <a:r>
            <a:rPr lang="en-US" sz="1100" b="1" baseline="0"/>
            <a:t>YELLOW</a:t>
          </a:r>
          <a:r>
            <a:rPr lang="en-US" sz="1100" baseline="0"/>
            <a:t> marked area</a:t>
          </a:r>
          <a:r>
            <a:rPr lang="en-US" sz="1100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ADA2-7E4D-448F-B0C6-75A1254560F0}">
  <dimension ref="B3:L13"/>
  <sheetViews>
    <sheetView showGridLines="0" tabSelected="1" workbookViewId="0">
      <selection activeCell="D5" sqref="D5"/>
    </sheetView>
  </sheetViews>
  <sheetFormatPr defaultRowHeight="15" x14ac:dyDescent="0.25"/>
  <cols>
    <col min="6" max="8" width="9.140625" customWidth="1"/>
    <col min="9" max="9" width="9.7109375" customWidth="1"/>
    <col min="10" max="10" width="9.5703125" customWidth="1"/>
  </cols>
  <sheetData>
    <row r="3" spans="2:12" x14ac:dyDescent="0.25">
      <c r="C3" s="9" t="s">
        <v>13</v>
      </c>
      <c r="D3" s="9"/>
      <c r="E3" s="9"/>
    </row>
    <row r="4" spans="2:12" ht="30" x14ac:dyDescent="0.25">
      <c r="B4" s="4" t="s">
        <v>0</v>
      </c>
      <c r="C4" s="6" t="s">
        <v>1</v>
      </c>
      <c r="D4" s="6" t="s">
        <v>2</v>
      </c>
      <c r="E4" s="6" t="s">
        <v>3</v>
      </c>
      <c r="F4" s="5" t="s">
        <v>4</v>
      </c>
      <c r="G4" s="5" t="s">
        <v>15</v>
      </c>
      <c r="H4" s="5" t="s">
        <v>16</v>
      </c>
      <c r="I4" s="5" t="s">
        <v>5</v>
      </c>
      <c r="J4" s="5" t="s">
        <v>11</v>
      </c>
    </row>
    <row r="5" spans="2:12" x14ac:dyDescent="0.25">
      <c r="B5" s="4" t="s">
        <v>6</v>
      </c>
      <c r="C5" s="1"/>
      <c r="D5" s="1"/>
      <c r="E5" s="1"/>
      <c r="F5" s="2">
        <f>(2*(C5+D5+60)*(D5+E5+40))/1000000</f>
        <v>4.7999999999999996E-3</v>
      </c>
      <c r="G5" s="2">
        <v>0.74</v>
      </c>
      <c r="H5" s="7">
        <f>ROUND(G5*F5,3)</f>
        <v>4.0000000000000001E-3</v>
      </c>
      <c r="I5" s="2">
        <v>0.81399999999999995</v>
      </c>
      <c r="J5" s="3">
        <f>ROUND(F5*I5,3)</f>
        <v>4.0000000000000001E-3</v>
      </c>
      <c r="K5" s="8"/>
    </row>
    <row r="6" spans="2:12" x14ac:dyDescent="0.25">
      <c r="B6" s="4" t="s">
        <v>7</v>
      </c>
      <c r="C6" s="1"/>
      <c r="D6" s="1"/>
      <c r="E6" s="1"/>
      <c r="F6" s="2">
        <f t="shared" ref="F6:F9" si="0">(2*(C6+D6+60)*(D6+E6+40))/1000000</f>
        <v>4.7999999999999996E-3</v>
      </c>
      <c r="G6" s="2">
        <v>0.74</v>
      </c>
      <c r="H6" s="7">
        <f t="shared" ref="H6:H9" si="1">ROUND(G6*F6,3)</f>
        <v>4.0000000000000001E-3</v>
      </c>
      <c r="I6" s="2">
        <v>0.81399999999999995</v>
      </c>
      <c r="J6" s="3">
        <f>ROUND(F6*I6,3)</f>
        <v>4.0000000000000001E-3</v>
      </c>
    </row>
    <row r="7" spans="2:12" x14ac:dyDescent="0.25">
      <c r="B7" s="4" t="s">
        <v>8</v>
      </c>
      <c r="C7" s="1"/>
      <c r="D7" s="1"/>
      <c r="E7" s="1"/>
      <c r="F7" s="2">
        <f t="shared" si="0"/>
        <v>4.7999999999999996E-3</v>
      </c>
      <c r="G7" s="2">
        <v>0.74</v>
      </c>
      <c r="H7" s="7">
        <f t="shared" si="1"/>
        <v>4.0000000000000001E-3</v>
      </c>
      <c r="I7" s="2">
        <v>0.81399999999999995</v>
      </c>
      <c r="J7" s="3">
        <f>ROUND(F7*I7,3)</f>
        <v>4.0000000000000001E-3</v>
      </c>
    </row>
    <row r="8" spans="2:12" x14ac:dyDescent="0.25">
      <c r="B8" s="4" t="s">
        <v>9</v>
      </c>
      <c r="C8" s="1"/>
      <c r="D8" s="1"/>
      <c r="E8" s="1"/>
      <c r="F8" s="2">
        <f t="shared" si="0"/>
        <v>4.7999999999999996E-3</v>
      </c>
      <c r="G8" s="2">
        <v>0.74</v>
      </c>
      <c r="H8" s="7">
        <f t="shared" si="1"/>
        <v>4.0000000000000001E-3</v>
      </c>
      <c r="I8" s="2">
        <v>0.81399999999999995</v>
      </c>
      <c r="J8" s="3">
        <f>ROUND(F8*I8,3)</f>
        <v>4.0000000000000001E-3</v>
      </c>
    </row>
    <row r="9" spans="2:12" x14ac:dyDescent="0.25">
      <c r="B9" s="4" t="s">
        <v>10</v>
      </c>
      <c r="C9" s="1"/>
      <c r="D9" s="1"/>
      <c r="E9" s="1"/>
      <c r="F9" s="2">
        <f t="shared" si="0"/>
        <v>4.7999999999999996E-3</v>
      </c>
      <c r="G9" s="2">
        <v>0.74</v>
      </c>
      <c r="H9" s="7">
        <f t="shared" si="1"/>
        <v>4.0000000000000001E-3</v>
      </c>
      <c r="I9" s="2">
        <v>0.81399999999999995</v>
      </c>
      <c r="J9" s="3">
        <f>ROUND(F9*I9,3)</f>
        <v>4.0000000000000001E-3</v>
      </c>
    </row>
    <row r="11" spans="2:12" x14ac:dyDescent="0.25">
      <c r="B11" s="10" t="s">
        <v>17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2:12" x14ac:dyDescent="0.25">
      <c r="B12" s="10" t="s">
        <v>12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2:12" x14ac:dyDescent="0.25">
      <c r="B13" s="10" t="s">
        <v>14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</sheetData>
  <sheetProtection selectLockedCells="1"/>
  <mergeCells count="4">
    <mergeCell ref="C3:E3"/>
    <mergeCell ref="B11:L11"/>
    <mergeCell ref="B12:L12"/>
    <mergeCell ref="B13:L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540C-CDA5-4A16-9823-8944CEA07D9F}">
  <dimension ref="B2:J20"/>
  <sheetViews>
    <sheetView workbookViewId="0">
      <selection activeCell="C3" sqref="C3"/>
    </sheetView>
  </sheetViews>
  <sheetFormatPr defaultRowHeight="15" x14ac:dyDescent="0.25"/>
  <sheetData>
    <row r="2" spans="2:10" ht="45" x14ac:dyDescent="0.25">
      <c r="B2" s="4" t="s">
        <v>0</v>
      </c>
      <c r="C2" s="6" t="s">
        <v>1</v>
      </c>
      <c r="D2" s="6" t="s">
        <v>2</v>
      </c>
      <c r="E2" s="6" t="s">
        <v>3</v>
      </c>
      <c r="F2" s="5" t="s">
        <v>4</v>
      </c>
      <c r="G2" s="5" t="s">
        <v>15</v>
      </c>
      <c r="H2" s="5" t="s">
        <v>16</v>
      </c>
      <c r="I2" s="5" t="s">
        <v>5</v>
      </c>
      <c r="J2" s="5" t="s">
        <v>11</v>
      </c>
    </row>
    <row r="3" spans="2:10" x14ac:dyDescent="0.25">
      <c r="B3" s="4" t="s">
        <v>6</v>
      </c>
      <c r="C3" s="1"/>
      <c r="D3" s="1"/>
      <c r="E3" s="1"/>
      <c r="F3" s="2">
        <f>(2*(C3+D3+60)*(D3+E3+40))/1000000</f>
        <v>4.7999999999999996E-3</v>
      </c>
      <c r="G3" s="2">
        <v>0.74</v>
      </c>
      <c r="H3" s="7">
        <f>ROUND(G3*F3,3)</f>
        <v>4.0000000000000001E-3</v>
      </c>
      <c r="I3" s="2">
        <v>0.81399999999999995</v>
      </c>
      <c r="J3" s="3">
        <f>ROUND(F3*I3,3)</f>
        <v>4.0000000000000001E-3</v>
      </c>
    </row>
    <row r="4" spans="2:10" x14ac:dyDescent="0.25">
      <c r="B4" s="4" t="s">
        <v>7</v>
      </c>
      <c r="C4" s="1"/>
      <c r="D4" s="1"/>
      <c r="E4" s="1"/>
      <c r="F4" s="2">
        <f t="shared" ref="F4:F7" si="0">(2*(C4+D4+60)*(D4+E4+40))/1000000</f>
        <v>4.7999999999999996E-3</v>
      </c>
      <c r="G4" s="2">
        <v>0.74</v>
      </c>
      <c r="H4" s="7">
        <f t="shared" ref="H4:H7" si="1">ROUND(G4*F4,3)</f>
        <v>4.0000000000000001E-3</v>
      </c>
      <c r="I4" s="2">
        <v>0.81399999999999995</v>
      </c>
      <c r="J4" s="3">
        <f>ROUND(F4*I4,3)</f>
        <v>4.0000000000000001E-3</v>
      </c>
    </row>
    <row r="5" spans="2:10" x14ac:dyDescent="0.25">
      <c r="B5" s="4" t="s">
        <v>8</v>
      </c>
      <c r="C5" s="1"/>
      <c r="D5" s="1"/>
      <c r="E5" s="1"/>
      <c r="F5" s="2">
        <f t="shared" si="0"/>
        <v>4.7999999999999996E-3</v>
      </c>
      <c r="G5" s="2">
        <v>0.74</v>
      </c>
      <c r="H5" s="7">
        <f t="shared" si="1"/>
        <v>4.0000000000000001E-3</v>
      </c>
      <c r="I5" s="2">
        <v>0.81399999999999995</v>
      </c>
      <c r="J5" s="3">
        <f>ROUND(F5*I5,3)</f>
        <v>4.0000000000000001E-3</v>
      </c>
    </row>
    <row r="6" spans="2:10" x14ac:dyDescent="0.25">
      <c r="B6" s="4" t="s">
        <v>9</v>
      </c>
      <c r="C6" s="1"/>
      <c r="D6" s="1"/>
      <c r="E6" s="1"/>
      <c r="F6" s="2">
        <f t="shared" si="0"/>
        <v>4.7999999999999996E-3</v>
      </c>
      <c r="G6" s="2">
        <v>0.74</v>
      </c>
      <c r="H6" s="7">
        <f t="shared" si="1"/>
        <v>4.0000000000000001E-3</v>
      </c>
      <c r="I6" s="2">
        <v>0.81399999999999995</v>
      </c>
      <c r="J6" s="3">
        <f>ROUND(F6*I6,3)</f>
        <v>4.0000000000000001E-3</v>
      </c>
    </row>
    <row r="7" spans="2:10" x14ac:dyDescent="0.25">
      <c r="B7" s="4" t="s">
        <v>10</v>
      </c>
      <c r="C7" s="1"/>
      <c r="D7" s="1"/>
      <c r="E7" s="1"/>
      <c r="F7" s="2">
        <f t="shared" si="0"/>
        <v>4.7999999999999996E-3</v>
      </c>
      <c r="G7" s="2">
        <v>0.74</v>
      </c>
      <c r="H7" s="7">
        <f t="shared" si="1"/>
        <v>4.0000000000000001E-3</v>
      </c>
      <c r="I7" s="2">
        <v>0.81399999999999995</v>
      </c>
      <c r="J7" s="3">
        <f>ROUND(F7*I7,3)</f>
        <v>4.0000000000000001E-3</v>
      </c>
    </row>
    <row r="8" spans="2:10" x14ac:dyDescent="0.25">
      <c r="B8" s="4" t="s">
        <v>18</v>
      </c>
      <c r="C8" s="1"/>
      <c r="D8" s="1"/>
      <c r="E8" s="1"/>
      <c r="F8" s="2">
        <f t="shared" ref="F8:F20" si="2">(2*(C8+D8+60)*(D8+E8+40))/1000000</f>
        <v>4.7999999999999996E-3</v>
      </c>
      <c r="G8" s="2">
        <v>0.74</v>
      </c>
      <c r="H8" s="7">
        <f t="shared" ref="H8:H20" si="3">ROUND(G8*F8,3)</f>
        <v>4.0000000000000001E-3</v>
      </c>
      <c r="I8" s="2">
        <v>0.81399999999999995</v>
      </c>
      <c r="J8" s="3">
        <f t="shared" ref="J8:J20" si="4">ROUND(F8*I8,3)</f>
        <v>4.0000000000000001E-3</v>
      </c>
    </row>
    <row r="9" spans="2:10" x14ac:dyDescent="0.25">
      <c r="B9" s="4" t="s">
        <v>19</v>
      </c>
      <c r="C9" s="1"/>
      <c r="D9" s="1"/>
      <c r="E9" s="1"/>
      <c r="F9" s="2">
        <f t="shared" si="2"/>
        <v>4.7999999999999996E-3</v>
      </c>
      <c r="G9" s="2">
        <v>0.74</v>
      </c>
      <c r="H9" s="7">
        <f t="shared" si="3"/>
        <v>4.0000000000000001E-3</v>
      </c>
      <c r="I9" s="2">
        <v>0.81399999999999995</v>
      </c>
      <c r="J9" s="3">
        <f t="shared" si="4"/>
        <v>4.0000000000000001E-3</v>
      </c>
    </row>
    <row r="10" spans="2:10" x14ac:dyDescent="0.25">
      <c r="B10" s="4" t="s">
        <v>20</v>
      </c>
      <c r="C10" s="1"/>
      <c r="D10" s="1"/>
      <c r="E10" s="1"/>
      <c r="F10" s="2">
        <f t="shared" si="2"/>
        <v>4.7999999999999996E-3</v>
      </c>
      <c r="G10" s="2">
        <v>0.74</v>
      </c>
      <c r="H10" s="7">
        <f t="shared" si="3"/>
        <v>4.0000000000000001E-3</v>
      </c>
      <c r="I10" s="2">
        <v>0.81399999999999995</v>
      </c>
      <c r="J10" s="3">
        <f t="shared" si="4"/>
        <v>4.0000000000000001E-3</v>
      </c>
    </row>
    <row r="11" spans="2:10" x14ac:dyDescent="0.25">
      <c r="B11" s="4" t="s">
        <v>21</v>
      </c>
      <c r="C11" s="1"/>
      <c r="D11" s="1"/>
      <c r="E11" s="1"/>
      <c r="F11" s="2">
        <f t="shared" si="2"/>
        <v>4.7999999999999996E-3</v>
      </c>
      <c r="G11" s="2">
        <v>0.74</v>
      </c>
      <c r="H11" s="7">
        <f t="shared" si="3"/>
        <v>4.0000000000000001E-3</v>
      </c>
      <c r="I11" s="2">
        <v>0.81399999999999995</v>
      </c>
      <c r="J11" s="3">
        <f t="shared" si="4"/>
        <v>4.0000000000000001E-3</v>
      </c>
    </row>
    <row r="12" spans="2:10" x14ac:dyDescent="0.25">
      <c r="B12" s="4" t="s">
        <v>22</v>
      </c>
      <c r="C12" s="1"/>
      <c r="D12" s="1"/>
      <c r="E12" s="1"/>
      <c r="F12" s="2">
        <f t="shared" si="2"/>
        <v>4.7999999999999996E-3</v>
      </c>
      <c r="G12" s="2">
        <v>0.74</v>
      </c>
      <c r="H12" s="7">
        <f t="shared" si="3"/>
        <v>4.0000000000000001E-3</v>
      </c>
      <c r="I12" s="2">
        <v>0.81399999999999995</v>
      </c>
      <c r="J12" s="3">
        <f t="shared" si="4"/>
        <v>4.0000000000000001E-3</v>
      </c>
    </row>
    <row r="13" spans="2:10" x14ac:dyDescent="0.25">
      <c r="B13" s="4" t="s">
        <v>23</v>
      </c>
      <c r="C13" s="1"/>
      <c r="D13" s="1"/>
      <c r="E13" s="1"/>
      <c r="F13" s="2">
        <f t="shared" si="2"/>
        <v>4.7999999999999996E-3</v>
      </c>
      <c r="G13" s="2">
        <v>0.74</v>
      </c>
      <c r="H13" s="7">
        <f t="shared" si="3"/>
        <v>4.0000000000000001E-3</v>
      </c>
      <c r="I13" s="2">
        <v>0.81399999999999995</v>
      </c>
      <c r="J13" s="3">
        <f t="shared" si="4"/>
        <v>4.0000000000000001E-3</v>
      </c>
    </row>
    <row r="14" spans="2:10" x14ac:dyDescent="0.25">
      <c r="B14" s="4" t="s">
        <v>24</v>
      </c>
      <c r="C14" s="1"/>
      <c r="D14" s="1"/>
      <c r="E14" s="1"/>
      <c r="F14" s="2">
        <f t="shared" si="2"/>
        <v>4.7999999999999996E-3</v>
      </c>
      <c r="G14" s="2">
        <v>0.74</v>
      </c>
      <c r="H14" s="7">
        <f t="shared" si="3"/>
        <v>4.0000000000000001E-3</v>
      </c>
      <c r="I14" s="2">
        <v>0.81399999999999995</v>
      </c>
      <c r="J14" s="3">
        <f t="shared" si="4"/>
        <v>4.0000000000000001E-3</v>
      </c>
    </row>
    <row r="15" spans="2:10" x14ac:dyDescent="0.25">
      <c r="B15" s="4" t="s">
        <v>25</v>
      </c>
      <c r="C15" s="1"/>
      <c r="D15" s="1"/>
      <c r="E15" s="1"/>
      <c r="F15" s="2">
        <f t="shared" si="2"/>
        <v>4.7999999999999996E-3</v>
      </c>
      <c r="G15" s="2">
        <v>0.74</v>
      </c>
      <c r="H15" s="7">
        <f t="shared" si="3"/>
        <v>4.0000000000000001E-3</v>
      </c>
      <c r="I15" s="2">
        <v>0.81399999999999995</v>
      </c>
      <c r="J15" s="3">
        <f t="shared" si="4"/>
        <v>4.0000000000000001E-3</v>
      </c>
    </row>
    <row r="16" spans="2:10" x14ac:dyDescent="0.25">
      <c r="B16" s="4" t="s">
        <v>26</v>
      </c>
      <c r="C16" s="1"/>
      <c r="D16" s="1"/>
      <c r="E16" s="1"/>
      <c r="F16" s="2">
        <f t="shared" si="2"/>
        <v>4.7999999999999996E-3</v>
      </c>
      <c r="G16" s="2">
        <v>0.74</v>
      </c>
      <c r="H16" s="7">
        <f t="shared" si="3"/>
        <v>4.0000000000000001E-3</v>
      </c>
      <c r="I16" s="2">
        <v>0.81399999999999995</v>
      </c>
      <c r="J16" s="3">
        <f t="shared" si="4"/>
        <v>4.0000000000000001E-3</v>
      </c>
    </row>
    <row r="17" spans="2:10" x14ac:dyDescent="0.25">
      <c r="B17" s="4" t="s">
        <v>27</v>
      </c>
      <c r="C17" s="1"/>
      <c r="D17" s="1"/>
      <c r="E17" s="1"/>
      <c r="F17" s="2">
        <f t="shared" si="2"/>
        <v>4.7999999999999996E-3</v>
      </c>
      <c r="G17" s="2">
        <v>0.74</v>
      </c>
      <c r="H17" s="7">
        <f t="shared" si="3"/>
        <v>4.0000000000000001E-3</v>
      </c>
      <c r="I17" s="2">
        <v>0.81399999999999995</v>
      </c>
      <c r="J17" s="3">
        <f t="shared" si="4"/>
        <v>4.0000000000000001E-3</v>
      </c>
    </row>
    <row r="18" spans="2:10" x14ac:dyDescent="0.25">
      <c r="B18" s="4" t="s">
        <v>28</v>
      </c>
      <c r="C18" s="1"/>
      <c r="D18" s="1"/>
      <c r="E18" s="1"/>
      <c r="F18" s="2">
        <f t="shared" si="2"/>
        <v>4.7999999999999996E-3</v>
      </c>
      <c r="G18" s="2">
        <v>0.74</v>
      </c>
      <c r="H18" s="7">
        <f t="shared" si="3"/>
        <v>4.0000000000000001E-3</v>
      </c>
      <c r="I18" s="2">
        <v>0.81399999999999995</v>
      </c>
      <c r="J18" s="3">
        <f t="shared" si="4"/>
        <v>4.0000000000000001E-3</v>
      </c>
    </row>
    <row r="19" spans="2:10" x14ac:dyDescent="0.25">
      <c r="B19" s="4" t="s">
        <v>29</v>
      </c>
      <c r="C19" s="1"/>
      <c r="D19" s="1"/>
      <c r="E19" s="1"/>
      <c r="F19" s="2">
        <f t="shared" si="2"/>
        <v>4.7999999999999996E-3</v>
      </c>
      <c r="G19" s="2">
        <v>0.74</v>
      </c>
      <c r="H19" s="7">
        <f t="shared" si="3"/>
        <v>4.0000000000000001E-3</v>
      </c>
      <c r="I19" s="2">
        <v>0.81399999999999995</v>
      </c>
      <c r="J19" s="3">
        <f t="shared" si="4"/>
        <v>4.0000000000000001E-3</v>
      </c>
    </row>
    <row r="20" spans="2:10" x14ac:dyDescent="0.25">
      <c r="B20" s="4" t="s">
        <v>30</v>
      </c>
      <c r="C20" s="1"/>
      <c r="D20" s="1"/>
      <c r="E20" s="1"/>
      <c r="F20" s="2">
        <f t="shared" si="2"/>
        <v>4.7999999999999996E-3</v>
      </c>
      <c r="G20" s="2">
        <v>0.74</v>
      </c>
      <c r="H20" s="7">
        <f t="shared" si="3"/>
        <v>4.0000000000000001E-3</v>
      </c>
      <c r="I20" s="2">
        <v>0.81399999999999995</v>
      </c>
      <c r="J20" s="3">
        <f t="shared" si="4"/>
        <v>4.0000000000000001E-3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7442a-cade-4548-b89f-a46d131358ab" xsi:nil="true"/>
    <lcf76f155ced4ddcb4097134ff3c332f xmlns="8da5e724-aec3-46f6-b81f-0eb4333d696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1C4DA67DF7DF41B9EF3F8F967E5190" ma:contentTypeVersion="17" ma:contentTypeDescription="Skapa ett nytt dokument." ma:contentTypeScope="" ma:versionID="66374546f2786f5b50cfc24ae54c53a6">
  <xsd:schema xmlns:xsd="http://www.w3.org/2001/XMLSchema" xmlns:xs="http://www.w3.org/2001/XMLSchema" xmlns:p="http://schemas.microsoft.com/office/2006/metadata/properties" xmlns:ns2="8da5e724-aec3-46f6-b81f-0eb4333d6966" xmlns:ns3="0c97442a-cade-4548-b89f-a46d131358ab" targetNamespace="http://schemas.microsoft.com/office/2006/metadata/properties" ma:root="true" ma:fieldsID="3194a5dfe2900828f904036eb12e284e" ns2:_="" ns3:_="">
    <xsd:import namespace="8da5e724-aec3-46f6-b81f-0eb4333d6966"/>
    <xsd:import namespace="0c97442a-cade-4548-b89f-a46d131358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a5e724-aec3-46f6-b81f-0eb4333d69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6aacb27-3b68-4adc-ba66-7a08f48ded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7442a-cade-4548-b89f-a46d131358a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796ce47-9257-4f68-a437-4f9a037f17be}" ma:internalName="TaxCatchAll" ma:showField="CatchAllData" ma:web="0c97442a-cade-4548-b89f-a46d131358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19A9A3-D907-4160-8ED8-B2655952C8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B87D96-C108-478D-B5F9-4464818F6378}">
  <ds:schemaRefs>
    <ds:schemaRef ds:uri="http://schemas.microsoft.com/office/2006/metadata/properties"/>
    <ds:schemaRef ds:uri="http://schemas.microsoft.com/office/infopath/2007/PartnerControls"/>
    <ds:schemaRef ds:uri="0c97442a-cade-4548-b89f-a46d131358ab"/>
    <ds:schemaRef ds:uri="8da5e724-aec3-46f6-b81f-0eb4333d6966"/>
  </ds:schemaRefs>
</ds:datastoreItem>
</file>

<file path=customXml/itemProps3.xml><?xml version="1.0" encoding="utf-8"?>
<ds:datastoreItem xmlns:ds="http://schemas.openxmlformats.org/officeDocument/2006/customXml" ds:itemID="{0053B97C-EB22-4D17-874A-819DE4F10D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a5e724-aec3-46f6-b81f-0eb4333d6966"/>
    <ds:schemaRef ds:uri="0c97442a-cade-4548-b89f-a46d131358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Epyllion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 Alam</dc:creator>
  <cp:lastModifiedBy>Murad Hossain</cp:lastModifiedBy>
  <dcterms:created xsi:type="dcterms:W3CDTF">2025-02-09T11:07:42Z</dcterms:created>
  <dcterms:modified xsi:type="dcterms:W3CDTF">2026-09-22T05:28:30Z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0x0101003C1C4DA67DF7DF41B9EF3F8F967E5190</vt:lpwstr>
  </property>
  <property fmtid="{D5CDD505-2E9C-101B-9397-08002B2CF9AE}" pid="3" name="MediaServiceImageTags">
    <vt:lpwstr/>
  </property>
</Properties>
</file>